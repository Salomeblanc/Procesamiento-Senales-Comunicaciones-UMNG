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septima señal/"/>
    </mc:Choice>
  </mc:AlternateContent>
  <xr:revisionPtr revIDLastSave="0" documentId="8_{B5035645-78DC-4662-BAE6-7A6F4B02FA99}" xr6:coauthVersionLast="47" xr6:coauthVersionMax="47" xr10:uidLastSave="{00000000-0000-0000-0000-000000000000}"/>
  <bookViews>
    <workbookView xWindow="-108" yWindow="-108" windowWidth="23256" windowHeight="13896" xr2:uid="{AD7FBBAE-0ACB-40B8-9219-8279692D7C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4" i="1"/>
  <c r="E5" i="1"/>
  <c r="E6" i="1"/>
  <c r="E7" i="1"/>
  <c r="E8" i="1"/>
  <c r="E9" i="1"/>
  <c r="E10" i="1"/>
  <c r="E11" i="1"/>
  <c r="E4" i="1"/>
  <c r="C5" i="1"/>
  <c r="C6" i="1"/>
  <c r="C7" i="1"/>
  <c r="C8" i="1"/>
  <c r="C9" i="1"/>
  <c r="C10" i="1"/>
  <c r="C11" i="1"/>
  <c r="C4" i="1"/>
</calcChain>
</file>

<file path=xl/sharedStrings.xml><?xml version="1.0" encoding="utf-8"?>
<sst xmlns="http://schemas.openxmlformats.org/spreadsheetml/2006/main" count="6" uniqueCount="6">
  <si>
    <t>ARMONICO</t>
  </si>
  <si>
    <t>FRECUENCIA (Hz)</t>
  </si>
  <si>
    <t>POTENCIA(dB)</t>
  </si>
  <si>
    <t>Vp  teorico</t>
  </si>
  <si>
    <t>Vp experimental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</si>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</sst>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FE2B-6FC5-4F32-A718-30C14A200986}">
  <dimension ref="B3:I11"/>
  <sheetViews>
    <sheetView tabSelected="1" workbookViewId="0">
      <selection activeCell="E15" sqref="E15"/>
    </sheetView>
  </sheetViews>
  <sheetFormatPr baseColWidth="10" defaultRowHeight="14.4" x14ac:dyDescent="0.3"/>
  <cols>
    <col min="2" max="2" width="11.5546875" style="1"/>
    <col min="3" max="3" width="15.21875" style="1" bestFit="1" customWidth="1"/>
    <col min="4" max="4" width="12.6640625" style="1" bestFit="1" customWidth="1"/>
    <col min="5" max="5" width="11.5546875" style="1"/>
    <col min="6" max="6" width="13.88671875" style="1" bestFit="1" customWidth="1"/>
    <col min="7" max="9" width="11.5546875" style="1"/>
  </cols>
  <sheetData>
    <row r="3" spans="2:9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</row>
    <row r="4" spans="2:9" x14ac:dyDescent="0.3">
      <c r="B4" s="2">
        <v>1</v>
      </c>
      <c r="C4" s="2">
        <f>B4*800</f>
        <v>800</v>
      </c>
      <c r="D4" s="2">
        <v>-6.95</v>
      </c>
      <c r="E4" s="2">
        <f>(4*$I$5)/(B4*PI())</f>
        <v>0.63661977236758138</v>
      </c>
      <c r="F4" s="2">
        <f>((10^(D4/20))*1)*SQRT(2)</f>
        <v>0.63535287261199358</v>
      </c>
      <c r="I4" s="4" t="s">
        <v>5</v>
      </c>
    </row>
    <row r="5" spans="2:9" x14ac:dyDescent="0.3">
      <c r="B5" s="2">
        <v>3</v>
      </c>
      <c r="C5" s="2">
        <f t="shared" ref="C5:C11" si="0">B5*800</f>
        <v>2400</v>
      </c>
      <c r="D5" s="2">
        <v>-16.5</v>
      </c>
      <c r="E5" s="2">
        <f t="shared" ref="E5:E11" si="1">(4*$I$5)/(B5*PI())</f>
        <v>0.21220659078919379</v>
      </c>
      <c r="F5" s="2">
        <f t="shared" ref="F5:F11" si="2">((10^(D5/20))*1)*SQRT(2)</f>
        <v>0.2115996757354954</v>
      </c>
      <c r="I5" s="2">
        <v>0.5</v>
      </c>
    </row>
    <row r="6" spans="2:9" x14ac:dyDescent="0.3">
      <c r="B6" s="2">
        <v>5</v>
      </c>
      <c r="C6" s="2">
        <f t="shared" si="0"/>
        <v>4000</v>
      </c>
      <c r="D6" s="2">
        <v>-20.9</v>
      </c>
      <c r="E6" s="2">
        <f t="shared" si="1"/>
        <v>0.12732395447351627</v>
      </c>
      <c r="F6" s="2">
        <f t="shared" si="2"/>
        <v>0.1275014130246484</v>
      </c>
    </row>
    <row r="7" spans="2:9" x14ac:dyDescent="0.3">
      <c r="B7" s="2">
        <v>7</v>
      </c>
      <c r="C7" s="2">
        <f t="shared" si="0"/>
        <v>5600</v>
      </c>
      <c r="D7" s="2">
        <v>-23.7</v>
      </c>
      <c r="E7" s="2">
        <f t="shared" si="1"/>
        <v>9.0945681766797334E-2</v>
      </c>
      <c r="F7" s="2">
        <f t="shared" si="2"/>
        <v>9.2366608555428997E-2</v>
      </c>
    </row>
    <row r="8" spans="2:9" x14ac:dyDescent="0.3">
      <c r="B8" s="2">
        <v>9</v>
      </c>
      <c r="C8" s="2">
        <f t="shared" si="0"/>
        <v>7200</v>
      </c>
      <c r="D8" s="2">
        <v>-26.1</v>
      </c>
      <c r="E8" s="2">
        <f t="shared" si="1"/>
        <v>7.0735530263064603E-2</v>
      </c>
      <c r="F8" s="2">
        <f t="shared" si="2"/>
        <v>7.0067237931647153E-2</v>
      </c>
    </row>
    <row r="9" spans="2:9" x14ac:dyDescent="0.3">
      <c r="B9" s="2">
        <v>11</v>
      </c>
      <c r="C9" s="2">
        <f t="shared" si="0"/>
        <v>8800</v>
      </c>
      <c r="D9" s="2">
        <v>-27.7</v>
      </c>
      <c r="E9" s="2">
        <f t="shared" si="1"/>
        <v>5.7874524760689224E-2</v>
      </c>
      <c r="F9" s="2">
        <f t="shared" si="2"/>
        <v>5.8279390052774965E-2</v>
      </c>
    </row>
    <row r="10" spans="2:9" x14ac:dyDescent="0.3">
      <c r="B10" s="2">
        <v>13</v>
      </c>
      <c r="C10" s="2">
        <f t="shared" si="0"/>
        <v>10400</v>
      </c>
      <c r="D10" s="2">
        <v>-29.3</v>
      </c>
      <c r="E10" s="2">
        <f t="shared" si="1"/>
        <v>4.8970751720583176E-2</v>
      </c>
      <c r="F10" s="2">
        <f t="shared" si="2"/>
        <v>4.847468524785959E-2</v>
      </c>
    </row>
    <row r="11" spans="2:9" x14ac:dyDescent="0.3">
      <c r="B11" s="2">
        <v>15</v>
      </c>
      <c r="C11" s="2">
        <f t="shared" si="0"/>
        <v>12000</v>
      </c>
      <c r="D11" s="2">
        <v>-30.5</v>
      </c>
      <c r="E11" s="2">
        <f t="shared" si="1"/>
        <v>4.2441318157838762E-2</v>
      </c>
      <c r="F11" s="2">
        <f t="shared" si="2"/>
        <v>4.221968588546688E-2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2026-08-07T03:59:10Z</dcterms:created>
  <dcterms:modified xsi:type="dcterms:W3CDTF">2026-08-07T04:05:26Z</dcterms:modified>
</cp:coreProperties>
</file>