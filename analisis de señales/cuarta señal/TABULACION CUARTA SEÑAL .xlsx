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ee438a8bececd/Documentos/UNIVERSIDAD/ACTIVIDADES 6 SEMESTRE (1^J2^J3 CORTE)/COMUNICACION DIGITAL/1 CORTE/2 LABORATORIO 1 CORTE/DATOS_OSC/cuarta señal/"/>
    </mc:Choice>
  </mc:AlternateContent>
  <xr:revisionPtr revIDLastSave="0" documentId="8_{6B063180-FC62-44DC-BD64-288FA11D201B}" xr6:coauthVersionLast="47" xr6:coauthVersionMax="47" xr10:uidLastSave="{00000000-0000-0000-0000-000000000000}"/>
  <bookViews>
    <workbookView xWindow="-108" yWindow="-108" windowWidth="23256" windowHeight="13896" xr2:uid="{5993DF7E-A8DA-46B6-BB3B-51C317B013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0" i="1" l="1"/>
  <c r="E10" i="1"/>
  <c r="C10" i="1"/>
  <c r="F9" i="1"/>
  <c r="E9" i="1"/>
  <c r="C9" i="1"/>
  <c r="F8" i="1"/>
  <c r="E8" i="1"/>
  <c r="C8" i="1"/>
  <c r="F7" i="1"/>
  <c r="E7" i="1"/>
  <c r="C7" i="1"/>
  <c r="F6" i="1"/>
  <c r="E6" i="1"/>
  <c r="C6" i="1"/>
  <c r="F5" i="1"/>
  <c r="E5" i="1"/>
  <c r="C5" i="1"/>
  <c r="F4" i="1"/>
  <c r="E4" i="1"/>
  <c r="C4" i="1"/>
  <c r="F3" i="1"/>
  <c r="E3" i="1"/>
</calcChain>
</file>

<file path=xl/sharedStrings.xml><?xml version="1.0" encoding="utf-8"?>
<sst xmlns="http://schemas.openxmlformats.org/spreadsheetml/2006/main" count="6" uniqueCount="6">
  <si>
    <t xml:space="preserve">ARMONICO </t>
  </si>
  <si>
    <t xml:space="preserve">FRECUENCIA (Hz) </t>
  </si>
  <si>
    <t xml:space="preserve">POTENCIA (dB) </t>
  </si>
  <si>
    <t>Vp teorico</t>
  </si>
  <si>
    <t>Vp experimental</t>
  </si>
  <si>
    <t>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</si>
</sst>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A0D4F-80C2-4D34-BD88-029831D724E4}">
  <dimension ref="B2:J10"/>
  <sheetViews>
    <sheetView tabSelected="1" workbookViewId="0">
      <selection activeCell="E14" sqref="E14"/>
    </sheetView>
  </sheetViews>
  <sheetFormatPr baseColWidth="10" defaultRowHeight="14.4" x14ac:dyDescent="0.3"/>
  <cols>
    <col min="3" max="3" width="10.77734375" bestFit="1" customWidth="1"/>
    <col min="4" max="4" width="16.109375" bestFit="1" customWidth="1"/>
    <col min="5" max="5" width="13.77734375" bestFit="1" customWidth="1"/>
    <col min="6" max="7" width="14.6640625" bestFit="1" customWidth="1"/>
    <col min="10" max="10" width="11.5546875" style="3"/>
  </cols>
  <sheetData>
    <row r="2" spans="2:10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10" x14ac:dyDescent="0.3">
      <c r="B3" s="2">
        <v>1</v>
      </c>
      <c r="C3" s="2">
        <v>800</v>
      </c>
      <c r="D3" s="2">
        <v>-10.5</v>
      </c>
      <c r="E3" s="2">
        <f>(8*$J$4)/(B3*PI())^2</f>
        <v>0.4052847345693511</v>
      </c>
      <c r="F3" s="2">
        <f>((10^(D3/20))*1)*SQRT(2)</f>
        <v>0.42219685885466879</v>
      </c>
      <c r="J3" s="1" t="s">
        <v>5</v>
      </c>
    </row>
    <row r="4" spans="2:10" x14ac:dyDescent="0.3">
      <c r="B4" s="2">
        <v>3</v>
      </c>
      <c r="C4" s="2">
        <f>800*B4</f>
        <v>2400</v>
      </c>
      <c r="D4" s="2">
        <v>-29.3</v>
      </c>
      <c r="E4" s="2">
        <f t="shared" ref="E4:E10" si="0">(8*$J$4)/(B4*PI())^2</f>
        <v>4.5031637174372342E-2</v>
      </c>
      <c r="F4" s="2">
        <f t="shared" ref="F4:F10" si="1">((10^(D4/20))*1)*SQRT(2)</f>
        <v>4.847468524785959E-2</v>
      </c>
      <c r="J4" s="2">
        <v>0.5</v>
      </c>
    </row>
    <row r="5" spans="2:10" x14ac:dyDescent="0.3">
      <c r="B5" s="2">
        <v>5</v>
      </c>
      <c r="C5" s="2">
        <f t="shared" ref="C5:C10" si="2">800*B5</f>
        <v>4000</v>
      </c>
      <c r="D5" s="2">
        <v>-38.1</v>
      </c>
      <c r="E5" s="2">
        <f t="shared" si="0"/>
        <v>1.6211389382774045E-2</v>
      </c>
      <c r="F5" s="2">
        <f t="shared" si="1"/>
        <v>1.7600094425385793E-2</v>
      </c>
    </row>
    <row r="6" spans="2:10" x14ac:dyDescent="0.3">
      <c r="B6" s="2">
        <v>7</v>
      </c>
      <c r="C6" s="2">
        <f t="shared" si="2"/>
        <v>5600</v>
      </c>
      <c r="D6" s="2">
        <v>-44.1</v>
      </c>
      <c r="E6" s="2">
        <f t="shared" si="0"/>
        <v>8.271117032027573E-3</v>
      </c>
      <c r="F6" s="2">
        <f t="shared" si="1"/>
        <v>8.8209426366378831E-3</v>
      </c>
    </row>
    <row r="7" spans="2:10" x14ac:dyDescent="0.3">
      <c r="B7" s="2">
        <v>9</v>
      </c>
      <c r="C7" s="2">
        <f t="shared" si="2"/>
        <v>7200</v>
      </c>
      <c r="D7" s="2">
        <v>-48.9</v>
      </c>
      <c r="E7" s="2">
        <f t="shared" si="0"/>
        <v>5.0035152415969274E-3</v>
      </c>
      <c r="F7" s="2">
        <f t="shared" si="1"/>
        <v>5.0759226780815615E-3</v>
      </c>
    </row>
    <row r="8" spans="2:10" x14ac:dyDescent="0.3">
      <c r="B8" s="2">
        <v>11</v>
      </c>
      <c r="C8" s="2">
        <f t="shared" si="2"/>
        <v>8800</v>
      </c>
      <c r="D8" s="2">
        <v>-52.5</v>
      </c>
      <c r="E8" s="2">
        <f t="shared" si="0"/>
        <v>3.3494606162756298E-3</v>
      </c>
      <c r="F8" s="2">
        <f t="shared" si="1"/>
        <v>3.353628856001655E-3</v>
      </c>
    </row>
    <row r="9" spans="2:10" x14ac:dyDescent="0.3">
      <c r="B9" s="2">
        <v>13</v>
      </c>
      <c r="C9" s="2">
        <f t="shared" si="2"/>
        <v>10400</v>
      </c>
      <c r="D9" s="2">
        <v>-55.3</v>
      </c>
      <c r="E9" s="2">
        <f t="shared" si="0"/>
        <v>2.3981345240790004E-3</v>
      </c>
      <c r="F9" s="2">
        <f t="shared" si="1"/>
        <v>2.4294893400327502E-3</v>
      </c>
    </row>
    <row r="10" spans="2:10" x14ac:dyDescent="0.3">
      <c r="B10" s="2">
        <v>15</v>
      </c>
      <c r="C10" s="2">
        <f t="shared" si="2"/>
        <v>12000</v>
      </c>
      <c r="D10" s="2">
        <v>-59</v>
      </c>
      <c r="E10" s="2">
        <f t="shared" si="0"/>
        <v>1.8012654869748942E-3</v>
      </c>
      <c r="F10" s="2">
        <f t="shared" si="1"/>
        <v>1.5867737153067317E-3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Riveros</dc:creator>
  <cp:lastModifiedBy>Harol Riveros</cp:lastModifiedBy>
  <dcterms:created xsi:type="dcterms:W3CDTF">2026-08-06T23:58:11Z</dcterms:created>
  <dcterms:modified xsi:type="dcterms:W3CDTF">2026-08-07T00:07:21Z</dcterms:modified>
</cp:coreProperties>
</file>