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7ee438a8bececd/Documentos/UNIVERSIDAD/ACTIVIDADES 6 SEMESTRE (1^J2^J3 CORTE)/COMUNICACION DIGITAL/1 CORTE/2 LABORATORIO 1 CORTE/DATOS_OSC/Quinta señal/"/>
    </mc:Choice>
  </mc:AlternateContent>
  <xr:revisionPtr revIDLastSave="0" documentId="8_{6FAEF73D-31C0-4027-B0FA-F922B92A5EE2}" xr6:coauthVersionLast="47" xr6:coauthVersionMax="47" xr10:uidLastSave="{00000000-0000-0000-0000-000000000000}"/>
  <bookViews>
    <workbookView xWindow="-108" yWindow="-108" windowWidth="23256" windowHeight="13896" xr2:uid="{69524379-C541-4927-BFB3-1A6DA8D81D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0" i="1" l="1"/>
  <c r="F11" i="1"/>
  <c r="F12" i="1"/>
  <c r="F9" i="1"/>
  <c r="F8" i="1"/>
  <c r="F7" i="1"/>
  <c r="F6" i="1"/>
  <c r="F5" i="1"/>
  <c r="E7" i="1"/>
  <c r="E8" i="1"/>
  <c r="E9" i="1"/>
  <c r="E10" i="1"/>
  <c r="E11" i="1"/>
  <c r="E12" i="1"/>
  <c r="E6" i="1"/>
  <c r="E5" i="1"/>
  <c r="C12" i="1"/>
  <c r="C8" i="1"/>
  <c r="C9" i="1"/>
  <c r="C10" i="1"/>
  <c r="C11" i="1"/>
  <c r="C7" i="1"/>
  <c r="C6" i="1"/>
  <c r="C5" i="1"/>
</calcChain>
</file>

<file path=xl/sharedStrings.xml><?xml version="1.0" encoding="utf-8"?>
<sst xmlns="http://schemas.openxmlformats.org/spreadsheetml/2006/main" count="6" uniqueCount="6">
  <si>
    <t>Vp teorico</t>
  </si>
  <si>
    <t>Vp experimental</t>
  </si>
  <si>
    <t>vp</t>
  </si>
  <si>
    <t xml:space="preserve">ARMONICO </t>
  </si>
  <si>
    <t>FRECUENCIA (Hz)</t>
  </si>
  <si>
    <t>POTENCIA 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</si>
</sst>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CED78-C33D-46A5-8090-5CEECC68CF2B}">
  <dimension ref="B4:I12"/>
  <sheetViews>
    <sheetView tabSelected="1" workbookViewId="0">
      <selection activeCell="I13" sqref="I13"/>
    </sheetView>
  </sheetViews>
  <sheetFormatPr baseColWidth="10" defaultRowHeight="14.4" x14ac:dyDescent="0.3"/>
  <cols>
    <col min="2" max="2" width="11.5546875" style="1"/>
    <col min="3" max="3" width="15.6640625" style="1" bestFit="1" customWidth="1"/>
    <col min="4" max="4" width="13.44140625" style="1" bestFit="1" customWidth="1"/>
    <col min="5" max="5" width="12" style="1" bestFit="1" customWidth="1"/>
    <col min="6" max="6" width="14.6640625" style="1" bestFit="1" customWidth="1"/>
    <col min="9" max="9" width="11.5546875" style="1"/>
  </cols>
  <sheetData>
    <row r="4" spans="2:9" x14ac:dyDescent="0.3">
      <c r="B4" s="3" t="s">
        <v>3</v>
      </c>
      <c r="C4" s="3" t="s">
        <v>4</v>
      </c>
      <c r="D4" s="3" t="s">
        <v>5</v>
      </c>
      <c r="E4" s="3" t="s">
        <v>0</v>
      </c>
      <c r="F4" s="3" t="s">
        <v>1</v>
      </c>
    </row>
    <row r="5" spans="2:9" x14ac:dyDescent="0.3">
      <c r="B5" s="2">
        <v>1</v>
      </c>
      <c r="C5" s="2">
        <f>B5*800</f>
        <v>800</v>
      </c>
      <c r="D5" s="2">
        <v>-6.95</v>
      </c>
      <c r="E5" s="2">
        <f>(4*$I$7)/(B5*PI())</f>
        <v>0.63661977236758138</v>
      </c>
      <c r="F5" s="2">
        <f>((10^((D5)/20))*(1))*SQRT(2)</f>
        <v>0.63535287261199358</v>
      </c>
    </row>
    <row r="6" spans="2:9" x14ac:dyDescent="0.3">
      <c r="B6" s="2">
        <v>3</v>
      </c>
      <c r="C6" s="2">
        <f>B6*800</f>
        <v>2400</v>
      </c>
      <c r="D6" s="2">
        <v>-16.5</v>
      </c>
      <c r="E6" s="2">
        <f>(4*$I$7)/(B6*PI())</f>
        <v>0.21220659078919379</v>
      </c>
      <c r="F6" s="2">
        <f>((10^((D6)/20))*(1))*SQRT(2)</f>
        <v>0.2115996757354954</v>
      </c>
      <c r="I6" s="3" t="s">
        <v>2</v>
      </c>
    </row>
    <row r="7" spans="2:9" x14ac:dyDescent="0.3">
      <c r="B7" s="2">
        <v>5</v>
      </c>
      <c r="C7" s="2">
        <f>B7*800</f>
        <v>4000</v>
      </c>
      <c r="D7" s="2">
        <v>-20.9</v>
      </c>
      <c r="E7" s="2">
        <f t="shared" ref="E7:E12" si="0">(4*$I$7)/(B7*PI())</f>
        <v>0.12732395447351627</v>
      </c>
      <c r="F7" s="2">
        <f>((10^((D7)/20))*(1))*SQRT(2)</f>
        <v>0.1275014130246484</v>
      </c>
      <c r="I7" s="2">
        <v>0.5</v>
      </c>
    </row>
    <row r="8" spans="2:9" x14ac:dyDescent="0.3">
      <c r="B8" s="2">
        <v>7</v>
      </c>
      <c r="C8" s="2">
        <f t="shared" ref="C8:C11" si="1">B8*800</f>
        <v>5600</v>
      </c>
      <c r="D8" s="2">
        <v>-23.7</v>
      </c>
      <c r="E8" s="2">
        <f t="shared" si="0"/>
        <v>9.0945681766797334E-2</v>
      </c>
      <c r="F8" s="2">
        <f>((10^((D8)/20))*(1))*SQRT(2)</f>
        <v>9.2366608555428997E-2</v>
      </c>
    </row>
    <row r="9" spans="2:9" x14ac:dyDescent="0.3">
      <c r="B9" s="2">
        <v>9</v>
      </c>
      <c r="C9" s="2">
        <f t="shared" si="1"/>
        <v>7200</v>
      </c>
      <c r="D9" s="2">
        <v>-27.1</v>
      </c>
      <c r="E9" s="2">
        <f t="shared" si="0"/>
        <v>7.0735530263064603E-2</v>
      </c>
      <c r="F9" s="2">
        <f>((10^((D9)/20))*(1))*SQRT(2)</f>
        <v>6.2447491539020912E-2</v>
      </c>
    </row>
    <row r="10" spans="2:9" x14ac:dyDescent="0.3">
      <c r="B10" s="2">
        <v>11</v>
      </c>
      <c r="C10" s="2">
        <f t="shared" si="1"/>
        <v>8800</v>
      </c>
      <c r="D10" s="2">
        <v>-27.7</v>
      </c>
      <c r="E10" s="2">
        <f t="shared" si="0"/>
        <v>5.7874524760689224E-2</v>
      </c>
      <c r="F10" s="2">
        <f>((10^((D10)/20))*(1))*SQRT(2)</f>
        <v>5.8279390052774965E-2</v>
      </c>
    </row>
    <row r="11" spans="2:9" x14ac:dyDescent="0.3">
      <c r="B11" s="2">
        <v>13</v>
      </c>
      <c r="C11" s="2">
        <f t="shared" si="1"/>
        <v>10400</v>
      </c>
      <c r="D11" s="2">
        <v>-29.3</v>
      </c>
      <c r="E11" s="2">
        <f t="shared" si="0"/>
        <v>4.8970751720583176E-2</v>
      </c>
      <c r="F11" s="2">
        <f>((10^((D11)/20))*(1))*SQRT(2)</f>
        <v>4.847468524785959E-2</v>
      </c>
    </row>
    <row r="12" spans="2:9" x14ac:dyDescent="0.3">
      <c r="B12" s="2">
        <v>15</v>
      </c>
      <c r="C12" s="2">
        <f>B12*800</f>
        <v>12000</v>
      </c>
      <c r="D12" s="2">
        <v>-30.5</v>
      </c>
      <c r="E12" s="2">
        <f t="shared" si="0"/>
        <v>4.2441318157838762E-2</v>
      </c>
      <c r="F12" s="2">
        <f>((10^((D12)/20))*(1))*SQRT(2)</f>
        <v>4.221968588546688E-2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 Riveros</dc:creator>
  <cp:lastModifiedBy>Harol Riveros</cp:lastModifiedBy>
  <dcterms:created xsi:type="dcterms:W3CDTF">2026-08-07T02:00:11Z</dcterms:created>
  <dcterms:modified xsi:type="dcterms:W3CDTF">2026-08-07T02:09:57Z</dcterms:modified>
</cp:coreProperties>
</file>