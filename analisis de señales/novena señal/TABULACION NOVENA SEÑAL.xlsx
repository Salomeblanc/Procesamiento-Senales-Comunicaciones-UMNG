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novena señal/"/>
    </mc:Choice>
  </mc:AlternateContent>
  <xr:revisionPtr revIDLastSave="21" documentId="8_{3EE779C5-5E77-4202-9C98-D92C623EEAAC}" xr6:coauthVersionLast="47" xr6:coauthVersionMax="47" xr10:uidLastSave="{681D92DC-F6CF-49CF-A6E9-9ED70133A6F8}"/>
  <bookViews>
    <workbookView xWindow="-108" yWindow="-108" windowWidth="23256" windowHeight="13896" xr2:uid="{2A1DBCD0-7C4F-44DC-8504-791AFD882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F13" i="1"/>
  <c r="E4" i="1"/>
  <c r="F14" i="1"/>
  <c r="E14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</calcChain>
</file>

<file path=xl/sharedStrings.xml><?xml version="1.0" encoding="utf-8"?>
<sst xmlns="http://schemas.openxmlformats.org/spreadsheetml/2006/main" count="7" uniqueCount="7">
  <si>
    <t>ARMONICA</t>
  </si>
  <si>
    <t>FRECUENCIA(Hz)</t>
  </si>
  <si>
    <t>POTENCIA(dB)</t>
  </si>
  <si>
    <t>Vp TEORICO</t>
  </si>
  <si>
    <t>Vp EXPERIMENTAL</t>
  </si>
  <si>
    <t>Vp</t>
  </si>
  <si>
    <t>D.C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</si>
</sst>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E75A-1863-4271-8FE3-DCFFD69D1BBD}">
  <dimension ref="B3:J14"/>
  <sheetViews>
    <sheetView tabSelected="1" workbookViewId="0">
      <selection activeCell="F19" sqref="F19"/>
    </sheetView>
  </sheetViews>
  <sheetFormatPr baseColWidth="10" defaultRowHeight="14.4" x14ac:dyDescent="0.3"/>
  <cols>
    <col min="2" max="2" width="10.21875" bestFit="1" customWidth="1"/>
    <col min="3" max="3" width="15.33203125" bestFit="1" customWidth="1"/>
    <col min="4" max="4" width="13.109375" bestFit="1" customWidth="1"/>
    <col min="5" max="5" width="12.6640625" bestFit="1" customWidth="1"/>
    <col min="6" max="6" width="16.21875" bestFit="1" customWidth="1"/>
  </cols>
  <sheetData>
    <row r="3" spans="2:10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"/>
    </row>
    <row r="4" spans="2:10" x14ac:dyDescent="0.3">
      <c r="B4" s="3">
        <v>1</v>
      </c>
      <c r="C4" s="3">
        <v>800</v>
      </c>
      <c r="D4" s="3">
        <v>-8.5500000000000007</v>
      </c>
      <c r="E4" s="3">
        <f>(((4*$I$7)/(B4*PI()))*SIN(B4*PI()*$J$7))</f>
        <v>0.51503621480048389</v>
      </c>
      <c r="F4" s="3">
        <f>((10^(D4/20))*(1))*SQRT(2)</f>
        <v>0.52846350130466668</v>
      </c>
      <c r="I4" s="2"/>
    </row>
    <row r="5" spans="2:10" x14ac:dyDescent="0.3">
      <c r="B5" s="3">
        <v>2</v>
      </c>
      <c r="C5" s="3">
        <v>1600</v>
      </c>
      <c r="D5" s="3">
        <v>-13.3</v>
      </c>
      <c r="E5" s="3">
        <f t="shared" ref="E5:E14" si="0">(((4*$I$7)/(B5*PI()))*SIN(B5*PI()*$J$7))</f>
        <v>0.30273069145626286</v>
      </c>
      <c r="F5" s="3">
        <f>((10^(D5/20))*(1))*SQRT(2)</f>
        <v>0.30585458678502692</v>
      </c>
      <c r="I5" s="2"/>
    </row>
    <row r="6" spans="2:10" x14ac:dyDescent="0.3">
      <c r="B6" s="3">
        <v>3</v>
      </c>
      <c r="C6" s="3">
        <v>2400</v>
      </c>
      <c r="D6" s="3">
        <v>-26.5</v>
      </c>
      <c r="E6" s="3">
        <f>(((4*$I$7)/(B6*PI()))*SIN(B6*PI()*$J$7))</f>
        <v>6.5575442872231091E-2</v>
      </c>
      <c r="F6" s="3">
        <f>((10^(D6/20))*(1))*SQRT(2)</f>
        <v>6.6913692747723005E-2</v>
      </c>
      <c r="I6" s="4" t="s">
        <v>5</v>
      </c>
      <c r="J6" s="4" t="s">
        <v>6</v>
      </c>
    </row>
    <row r="7" spans="2:10" x14ac:dyDescent="0.3">
      <c r="B7" s="3">
        <v>4</v>
      </c>
      <c r="C7" s="3">
        <v>3200</v>
      </c>
      <c r="D7" s="3">
        <v>-27.7</v>
      </c>
      <c r="E7" s="3">
        <f t="shared" si="0"/>
        <v>-9.3548928378863888E-2</v>
      </c>
      <c r="F7" s="3">
        <f t="shared" ref="F7:F14" si="1">((10^(D7/20))*(1))*SQRT(2)</f>
        <v>5.8279390052774965E-2</v>
      </c>
      <c r="I7" s="3">
        <v>0.5</v>
      </c>
      <c r="J7" s="3">
        <v>0.3</v>
      </c>
    </row>
    <row r="8" spans="2:10" x14ac:dyDescent="0.3">
      <c r="B8" s="3">
        <v>5</v>
      </c>
      <c r="C8" s="3">
        <v>4800</v>
      </c>
      <c r="D8" s="3">
        <v>-20.9</v>
      </c>
      <c r="E8" s="3">
        <f t="shared" si="0"/>
        <v>-0.12732395447351627</v>
      </c>
      <c r="F8" s="3">
        <f t="shared" si="1"/>
        <v>0.1275014130246484</v>
      </c>
      <c r="I8" s="2"/>
    </row>
    <row r="9" spans="2:10" x14ac:dyDescent="0.3">
      <c r="B9" s="3">
        <v>6</v>
      </c>
      <c r="C9" s="3">
        <v>5600</v>
      </c>
      <c r="D9" s="3">
        <v>-29.9</v>
      </c>
      <c r="E9" s="3">
        <f t="shared" si="0"/>
        <v>-6.2365952252575962E-2</v>
      </c>
      <c r="F9" s="3">
        <f t="shared" si="1"/>
        <v>4.5239208487345459E-2</v>
      </c>
      <c r="I9" s="2"/>
    </row>
    <row r="10" spans="2:10" x14ac:dyDescent="0.3">
      <c r="B10" s="3">
        <v>7</v>
      </c>
      <c r="C10" s="3">
        <v>6400</v>
      </c>
      <c r="D10" s="3">
        <v>-33.799999999999997</v>
      </c>
      <c r="E10" s="3">
        <f t="shared" si="0"/>
        <v>2.8103761230956148E-2</v>
      </c>
      <c r="F10" s="3">
        <f t="shared" si="1"/>
        <v>2.8874534921634158E-2</v>
      </c>
      <c r="I10" s="2"/>
    </row>
    <row r="11" spans="2:10" x14ac:dyDescent="0.3">
      <c r="B11" s="3">
        <v>8</v>
      </c>
      <c r="C11" s="3">
        <v>7200</v>
      </c>
      <c r="D11" s="3">
        <v>-25.3</v>
      </c>
      <c r="E11" s="3">
        <f t="shared" si="0"/>
        <v>7.56826728640657E-2</v>
      </c>
      <c r="F11" s="3">
        <f t="shared" si="1"/>
        <v>7.6827198656027856E-2</v>
      </c>
      <c r="I11" s="2"/>
    </row>
    <row r="12" spans="2:10" x14ac:dyDescent="0.3">
      <c r="B12" s="3">
        <v>9</v>
      </c>
      <c r="C12" s="3">
        <v>8800</v>
      </c>
      <c r="D12" s="3">
        <v>-27.7</v>
      </c>
      <c r="E12" s="3">
        <f t="shared" si="0"/>
        <v>5.7226246088942674E-2</v>
      </c>
      <c r="F12" s="3">
        <f t="shared" si="1"/>
        <v>5.8279390052774965E-2</v>
      </c>
      <c r="I12" s="2"/>
    </row>
    <row r="13" spans="2:10" x14ac:dyDescent="0.3">
      <c r="B13" s="3">
        <v>10</v>
      </c>
      <c r="C13" s="3">
        <v>9600</v>
      </c>
      <c r="D13" s="3">
        <v>-34.1</v>
      </c>
      <c r="E13" s="3">
        <f>(((4*$I$7)/(B13*PI()))*SIN(B13*PI()*$J$7))</f>
        <v>2.339861191441259E-17</v>
      </c>
      <c r="F13" s="3">
        <f>((10^(D13/20))*(1))*SQRT(2)</f>
        <v>2.7894269841466732E-2</v>
      </c>
      <c r="I13" s="2"/>
    </row>
    <row r="14" spans="2:10" x14ac:dyDescent="0.3">
      <c r="B14" s="3">
        <v>11</v>
      </c>
      <c r="C14" s="3">
        <v>10400</v>
      </c>
      <c r="D14" s="3">
        <v>-35.299999999999997</v>
      </c>
      <c r="E14" s="3">
        <f t="shared" si="0"/>
        <v>-4.6821474072771194E-2</v>
      </c>
      <c r="F14" s="3">
        <f t="shared" si="1"/>
        <v>2.4294893400327505E-2</v>
      </c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2026-08-07T22:19:02Z</dcterms:created>
  <dcterms:modified xsi:type="dcterms:W3CDTF">2026-08-07T22:34:53Z</dcterms:modified>
</cp:coreProperties>
</file>