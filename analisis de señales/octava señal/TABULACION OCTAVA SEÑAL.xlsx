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67ee438a8bececd/Documentos/UNIVERSIDAD/ACTIVIDADES 6 SEMESTRE (1^J2^J3 CORTE)/COMUNICACION DIGITAL/1 CORTE/2 LABORATORIO 1 CORTE/DATOS_OSC/octava señal/"/>
    </mc:Choice>
  </mc:AlternateContent>
  <xr:revisionPtr revIDLastSave="0" documentId="8_{4E1ED6F9-00A3-4A90-9535-9746F958FD6F}" xr6:coauthVersionLast="47" xr6:coauthVersionMax="47" xr10:uidLastSave="{00000000-0000-0000-0000-000000000000}"/>
  <bookViews>
    <workbookView xWindow="11424" yWindow="0" windowWidth="11712" windowHeight="13776" xr2:uid="{FE355DCB-1348-4516-817D-9BC9C06E0A6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6" i="1" l="1"/>
  <c r="F6" i="1"/>
  <c r="F5" i="1"/>
  <c r="F4" i="1"/>
  <c r="F7" i="1"/>
  <c r="F8" i="1"/>
  <c r="F9" i="1"/>
  <c r="F10" i="1"/>
  <c r="F11" i="1"/>
  <c r="F12" i="1"/>
  <c r="F13" i="1"/>
  <c r="F14" i="1"/>
  <c r="E5" i="1"/>
  <c r="E7" i="1"/>
  <c r="E8" i="1"/>
  <c r="E9" i="1"/>
  <c r="E10" i="1"/>
  <c r="E11" i="1"/>
  <c r="E12" i="1"/>
  <c r="E13" i="1"/>
  <c r="E14" i="1"/>
  <c r="E4" i="1"/>
</calcChain>
</file>

<file path=xl/sharedStrings.xml><?xml version="1.0" encoding="utf-8"?>
<sst xmlns="http://schemas.openxmlformats.org/spreadsheetml/2006/main" count="7" uniqueCount="7">
  <si>
    <t>ARMONICA</t>
  </si>
  <si>
    <t>Vp TEORICO</t>
  </si>
  <si>
    <t>Vp EXPERIMENTAL</t>
  </si>
  <si>
    <t>FRECUENCIA(Hz)</t>
  </si>
  <si>
    <t>POTENCIA(dB)</t>
  </si>
  <si>
    <t>Vp</t>
  </si>
  <si>
    <t>D.C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</si>
</sst>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EC6C1-B81B-42E1-A027-C8EA021B5CD0}">
  <dimension ref="B3:J16"/>
  <sheetViews>
    <sheetView tabSelected="1" workbookViewId="0">
      <selection activeCell="F14" sqref="F14"/>
    </sheetView>
  </sheetViews>
  <sheetFormatPr baseColWidth="10" defaultRowHeight="14.4" x14ac:dyDescent="0.3"/>
  <cols>
    <col min="2" max="2" width="11.5546875" style="1"/>
    <col min="3" max="3" width="14.88671875" style="1" bestFit="1" customWidth="1"/>
    <col min="4" max="4" width="12.6640625" style="1" bestFit="1" customWidth="1"/>
    <col min="5" max="5" width="11.5546875" style="1"/>
    <col min="6" max="6" width="15.77734375" style="1" bestFit="1" customWidth="1"/>
    <col min="9" max="9" width="11.5546875" style="1"/>
  </cols>
  <sheetData>
    <row r="3" spans="2:10" x14ac:dyDescent="0.3">
      <c r="B3" s="4" t="s">
        <v>0</v>
      </c>
      <c r="C3" s="4" t="s">
        <v>3</v>
      </c>
      <c r="D3" s="4" t="s">
        <v>4</v>
      </c>
      <c r="E3" s="4" t="s">
        <v>1</v>
      </c>
      <c r="F3" s="4" t="s">
        <v>2</v>
      </c>
    </row>
    <row r="4" spans="2:10" x14ac:dyDescent="0.3">
      <c r="B4" s="2">
        <v>1</v>
      </c>
      <c r="C4" s="2">
        <v>800</v>
      </c>
      <c r="D4" s="2">
        <v>-11.3</v>
      </c>
      <c r="E4" s="2">
        <f>(((4*$I$7)/(B4*PI()))*SIN(B4*PI()*$J$7))</f>
        <v>0.37419571351545566</v>
      </c>
      <c r="F4" s="2">
        <f>((10^(D4/20))*(1))*SQRT(2)</f>
        <v>0.38504811161747504</v>
      </c>
    </row>
    <row r="5" spans="2:10" x14ac:dyDescent="0.3">
      <c r="B5" s="2">
        <v>2</v>
      </c>
      <c r="C5" s="2">
        <v>1600</v>
      </c>
      <c r="D5" s="2">
        <v>-13.6</v>
      </c>
      <c r="E5" s="2">
        <f t="shared" ref="E5:E14" si="0">(((4*$I$7)/(B5*PI()))*SIN(B5*PI()*$J$7))</f>
        <v>0.3027306914562628</v>
      </c>
      <c r="F5" s="2">
        <f>((10^(D5/20))*(1))*SQRT(2)</f>
        <v>0.29547109240674158</v>
      </c>
    </row>
    <row r="6" spans="2:10" x14ac:dyDescent="0.3">
      <c r="B6" s="2">
        <v>3</v>
      </c>
      <c r="C6" s="2">
        <v>2400</v>
      </c>
      <c r="D6" s="2">
        <v>-19.899999999999999</v>
      </c>
      <c r="E6" s="2">
        <f>(((4*$I$7)/(B6*PI()))*SIN(B6*PI()*$J$7))</f>
        <v>0.20182046097084189</v>
      </c>
      <c r="F6" s="2">
        <f>((10^(D6/20))*(1))*SQRT(2)</f>
        <v>0.14305893836323227</v>
      </c>
      <c r="I6" s="3" t="s">
        <v>5</v>
      </c>
      <c r="J6" s="3" t="s">
        <v>6</v>
      </c>
    </row>
    <row r="7" spans="2:10" x14ac:dyDescent="0.3">
      <c r="B7" s="2">
        <v>4</v>
      </c>
      <c r="C7" s="2">
        <v>3200</v>
      </c>
      <c r="D7" s="2">
        <v>-23.3</v>
      </c>
      <c r="E7" s="2">
        <f t="shared" si="0"/>
        <v>9.354892837886393E-2</v>
      </c>
      <c r="F7" s="2">
        <f t="shared" ref="F7:F14" si="1">((10^(D7/20))*(1))*SQRT(2)</f>
        <v>9.6719712705032157E-2</v>
      </c>
      <c r="I7" s="2">
        <v>0.5</v>
      </c>
      <c r="J7" s="2">
        <v>0.2</v>
      </c>
    </row>
    <row r="8" spans="2:10" x14ac:dyDescent="0.3">
      <c r="B8" s="2">
        <v>5</v>
      </c>
      <c r="C8" s="2">
        <v>4800</v>
      </c>
      <c r="D8" s="2">
        <v>-29.9</v>
      </c>
      <c r="E8" s="2">
        <f t="shared" si="0"/>
        <v>1.5599074609608392E-17</v>
      </c>
      <c r="F8" s="2">
        <f t="shared" si="1"/>
        <v>4.5239208487345459E-2</v>
      </c>
    </row>
    <row r="9" spans="2:10" x14ac:dyDescent="0.3">
      <c r="B9" s="2">
        <v>6</v>
      </c>
      <c r="C9" s="2">
        <v>5600</v>
      </c>
      <c r="D9" s="2">
        <v>-24.1</v>
      </c>
      <c r="E9" s="2">
        <f t="shared" si="0"/>
        <v>-6.2365952252575928E-2</v>
      </c>
      <c r="F9" s="2">
        <f t="shared" si="1"/>
        <v>8.820942636637881E-2</v>
      </c>
    </row>
    <row r="10" spans="2:10" x14ac:dyDescent="0.3">
      <c r="B10" s="2">
        <v>7</v>
      </c>
      <c r="C10" s="2">
        <v>6400</v>
      </c>
      <c r="D10" s="2">
        <v>-25.3</v>
      </c>
      <c r="E10" s="2">
        <f t="shared" si="0"/>
        <v>-8.6494483273217931E-2</v>
      </c>
      <c r="F10" s="2">
        <f t="shared" si="1"/>
        <v>7.6827198656027856E-2</v>
      </c>
    </row>
    <row r="11" spans="2:10" x14ac:dyDescent="0.3">
      <c r="B11" s="2">
        <v>8</v>
      </c>
      <c r="C11" s="2">
        <v>7200</v>
      </c>
      <c r="D11" s="2">
        <v>-30.5</v>
      </c>
      <c r="E11" s="2">
        <f t="shared" si="0"/>
        <v>-7.5682672864065714E-2</v>
      </c>
      <c r="F11" s="2">
        <f t="shared" si="1"/>
        <v>4.221968588546688E-2</v>
      </c>
    </row>
    <row r="12" spans="2:10" x14ac:dyDescent="0.3">
      <c r="B12" s="2">
        <v>9</v>
      </c>
      <c r="C12" s="2">
        <v>8800</v>
      </c>
      <c r="D12" s="2">
        <v>-32.5</v>
      </c>
      <c r="E12" s="2">
        <f t="shared" si="0"/>
        <v>-4.1577301501717311E-2</v>
      </c>
      <c r="F12" s="2">
        <f t="shared" si="1"/>
        <v>3.3536288560016551E-2</v>
      </c>
    </row>
    <row r="13" spans="2:10" x14ac:dyDescent="0.3">
      <c r="B13" s="2">
        <v>10</v>
      </c>
      <c r="C13" s="2">
        <v>9600</v>
      </c>
      <c r="D13" s="2">
        <v>-28.9</v>
      </c>
      <c r="E13" s="2">
        <f t="shared" si="0"/>
        <v>-1.5599074609608392E-17</v>
      </c>
      <c r="F13" s="2">
        <f t="shared" si="1"/>
        <v>5.0759226780815611E-2</v>
      </c>
    </row>
    <row r="14" spans="2:10" x14ac:dyDescent="0.3">
      <c r="B14" s="2">
        <v>11</v>
      </c>
      <c r="C14" s="2">
        <v>10400</v>
      </c>
      <c r="D14" s="2">
        <v>-29.3</v>
      </c>
      <c r="E14" s="2">
        <f t="shared" si="0"/>
        <v>3.4017792137768683E-2</v>
      </c>
      <c r="F14" s="2">
        <f t="shared" si="1"/>
        <v>4.847468524785959E-2</v>
      </c>
    </row>
    <row r="15" spans="2:10" x14ac:dyDescent="0.3">
      <c r="B15"/>
      <c r="C15"/>
      <c r="E15"/>
      <c r="F15"/>
      <c r="I15"/>
    </row>
    <row r="16" spans="2:10" x14ac:dyDescent="0.3">
      <c r="B16"/>
      <c r="C16"/>
      <c r="E16"/>
      <c r="F16"/>
      <c r="I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 Riveros</dc:creator>
  <cp:lastModifiedBy>Harol Riveros</cp:lastModifiedBy>
  <dcterms:created xsi:type="dcterms:W3CDTF">2026-08-07T04:42:53Z</dcterms:created>
  <dcterms:modified xsi:type="dcterms:W3CDTF">2026-08-07T05:07:50Z</dcterms:modified>
</cp:coreProperties>
</file>